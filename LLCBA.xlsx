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DO\ChatBot-mimi\"/>
    </mc:Choice>
  </mc:AlternateContent>
  <xr:revisionPtr revIDLastSave="0" documentId="13_ncr:1_{BD195B47-F52B-4803-B474-3493EF08752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8" i="1" l="1"/>
  <c r="N12" i="1" s="1"/>
  <c r="Q8" i="1"/>
</calcChain>
</file>

<file path=xl/sharedStrings.xml><?xml version="1.0" encoding="utf-8"?>
<sst xmlns="http://schemas.openxmlformats.org/spreadsheetml/2006/main" count="73" uniqueCount="73">
  <si>
    <t xml:space="preserve">PROYECTO </t>
  </si>
  <si>
    <t xml:space="preserve">Incluye </t>
  </si>
  <si>
    <t xml:space="preserve">Detalle </t>
  </si>
  <si>
    <t>Propuesta</t>
  </si>
  <si>
    <t xml:space="preserve">Presupuesto </t>
  </si>
  <si>
    <t>Cómo se mide en dinero</t>
  </si>
  <si>
    <t>Oportunidad anual (USD)</t>
  </si>
  <si>
    <t>Assumptions</t>
  </si>
  <si>
    <t>Fuente de la información</t>
  </si>
  <si>
    <t>ALTO IMPACTO ·              ALTO ESFUERZO</t>
  </si>
  <si>
    <t xml:space="preserve">PRESUPUESTO </t>
  </si>
  <si>
    <t xml:space="preserve">Todos los proyectos y gestiones </t>
  </si>
  <si>
    <t xml:space="preserve">Consideramos la columna vertebral  de todo lo contempa LOCAL LOGIC </t>
  </si>
  <si>
    <t>Habilitador TRANSVERSAL. KPI: % del revenue regional de Córdoba protegido/habilitado y ROI del presupuesto (revenue del portfolio ÷ inversión Local Logic). No genera ingreso incremental directo: sostiene la base.</t>
  </si>
  <si>
    <t>Transversal</t>
  </si>
  <si>
    <t>Base de portfolio SANOFI en Córdoba estimada en ~USD 4.0M/año, habilitada por este marco. Es la 'columna vertebral': se mide por eficiencia de asignación y protección de la base, no como oportunidad incremental aditiva.</t>
  </si>
  <si>
    <t>Excel original: rol de 'columna vertebral / Local Logic'. La base de ~USD 4.0M es estimación propia de orden de magnitud (el archivo no contiene cifras de facturación). A validar con datos reales de la región.</t>
  </si>
  <si>
    <t>APROSS</t>
  </si>
  <si>
    <t xml:space="preserve">N°4 de Oprtunidades (Hospital Ferreyra) </t>
  </si>
  <si>
    <t>OS Provincial, el financiador más importante de Córdoba con 600.000 Af. mantiene una articulación estratégica creciente con el Ministerio de Salud, generando un alto potencial de expansión e influencia sobre el sistema público provincial y trabajo en sinergia entre ambos. En el actual escenario preelctoral es  estratégico y  clave  para SANOFI sostener un posicionamiento sólido y un abordaje relacional de alto valor</t>
  </si>
  <si>
    <t xml:space="preserve">Asitencia a Congresos Intenacionales de formacion y actualizacio para los stakeholders  (fortalecer el networking y el engagement con sus stakeholders)                                                                                            Programa APROSS + CERCA (sinergia MD)                                Restablecer Negociación por Insulinas                                                                                                  Pobalidad de incrementar el padron con un nuevo plan para Af. Voluntarios </t>
  </si>
  <si>
    <t>Ingreso incremental por inclusión en formulario/cobertura de insulinas, DUPIXENT y vacunas respiratorias sobre el padrón APROSS + alta de nuevo plan de afiliados voluntarios.</t>
  </si>
  <si>
    <t>Excel original: 600.000 afiliados APROSS, productos (insulinas) y proyectos. Prevalencia de diabetes/insulinización, candidatos DUPIXENT, coberturas de vacunas y precios netos: estimación propia sobre benchmarks generales del sector pharma — sin fuente externa verificada.</t>
  </si>
  <si>
    <t xml:space="preserve">MINISTERIO DE SALUD CÓRDOBA </t>
  </si>
  <si>
    <t xml:space="preserve">N° 7 Atención Primaria · Quality of Care / N°9 Cluster de Investigación/ N°11 Sinergia  Vacunas - Respiratorio /N° 14 Acceso Respiratorio Dr. A. Tejeiro </t>
  </si>
  <si>
    <t>Restablecer Acuerdo Marco con MS - (Incluye Pharma - Vacunas)  Implementacion Quality of Care/ APROSS + Cerca                                                                                                                                                         Propuestas de Inovacion, Formacio y Tecnica al Sistema de Salud Publico en un Contexto estrategico preeleccional                                                                                          Desarrollo Networking con Agencia Francesa de Desarrollo / Embajada de Francia  Compra Beyfortus  - DUPIXENT</t>
  </si>
  <si>
    <t>Volumen de compra pública vía Acuerdo Marco con el Ministerio: licitaciones de Beyfortus (VRS), vacunas respiratorias y DUPIXENT hospitalario.</t>
  </si>
  <si>
    <t>Cohorte de nacimientos Córdoba ~50.000/año. Beyfortus: captura pública 20% (10.000 dosis) × USD 300 ≈ 3.0M. Vacunas respiratorias compra pública ≈ 0.5M. DUPIXENT hospitalario casos acotados ≈ 0.3M. Sujeto a contexto preeleccional y firma del Acuerdo Marco.</t>
  </si>
  <si>
    <t>Excel original: Acuerdo Marco, Beyfortus, DUPIXENT y vacunas. Cohorte de nacimientos de Córdoba (~50.000), tasa de captura pública (20%) y precio Beyfortus (~USD 300): estimación propia / conocimiento general del sector — a validar con INDEC y precios de licitación reales.</t>
  </si>
  <si>
    <t>Trabajar sobre convenio                            MET, OSPE y REINA</t>
  </si>
  <si>
    <t xml:space="preserve">N°3  Segmentación local de coberturas //Oportunidades N° 2 Y 3  (Proyecto Labo Central — CURF Centro EPOF- Reina Fabiola </t>
  </si>
  <si>
    <t>Son las 3  Instituciones Privadas  más importante de Córdoba, dos de ellas cuentan con su propia cobertura medica (MET / OSPE) la cuale no poseen condiciones comerciales especiales porque en la segmentacion General de SANOFI son cuentas con menor a 100.00 Af. Pero para la Region representan las cobeturas privadas locales mas importantes.  La tercer institucion " REINA FABIOLA" tiene en desarrollo su cobertura medica para 2027 y acutalmente se encuentra formando el Centro de Referencia en Investigacion de EPF. El 20/5 presento el proyecto del PRIMER HOSPITAL SMAR DE ARG. /27.</t>
  </si>
  <si>
    <t>Acuerdo Comerciales                                                                                           Apoyo en formacion (Maestria) Centro EPOF -                                                              Apoyo para desarrollo de Investigacion (D+I)</t>
  </si>
  <si>
    <t>Ventas incrementales por acuerdos comerciales en las coberturas privadas (MET, OSPE) + valor generado por el Centro EPOF / proyectos D+I en Reina Fabiola.</t>
  </si>
  <si>
    <t>~80.000 afiliados combinados (cada cobertura &lt;100k, sin condiciones especiales hoy). Penetración incremental de portfolio estimada en USD 500k/año al cerrar condiciones comerciales. Reina Fabiola: valor indirecto vía investigación EPF y futura cobertura 2027.</t>
  </si>
  <si>
    <t>Excel original: MET, OSPE y Reina Fabiola, &lt;100.000 afiliados c/u, Centro EPOF y cobertura 2027. El ~80k combinado y la penetración de USD 500k: estimación propia, sin fuente externa.</t>
  </si>
  <si>
    <t>Inclusión MSL Local</t>
  </si>
  <si>
    <t xml:space="preserve">Por lo menos una visita al mes a Córdoba con funsion Cross- A futuro tener uno local </t>
  </si>
  <si>
    <t xml:space="preserve">Restablecer las actividades  con los equipos/ servicios medicos </t>
  </si>
  <si>
    <t>Habilitador. Uplift atribuible en prescripción/acceso por engagement médico-científico local + costo evitado de viajes cross.</t>
  </si>
  <si>
    <t>1 MSL con función cross (a futuro local). Costo ~USD 80k/año. Lift atribuible 2-3% sobre base habilitada de DUPIXENT/respiratorio ≈ USD 100-150k. Valor principalmente como enabler de acceso, no venta directa.</t>
  </si>
  <si>
    <t>Excel original: función MSL cross y al menos una visita mensual. Costo de MSL (~USD 80k/año) y lift atribuible (2-3%): estimación propia sobre benchmarks generales — sin fuente externa verificada.</t>
  </si>
  <si>
    <t>OPORTUNIDADES ·                    QUICK WINS                                    (Alto impacto, bajo esfuerzo)</t>
  </si>
  <si>
    <t xml:space="preserve">ASACAM </t>
  </si>
  <si>
    <t xml:space="preserve">N°5 Incorporación Anticuerpo Monoclonal </t>
  </si>
  <si>
    <t>Asociación de Auditoria y Calidad de Atención Médica de Córdoba con impacto Nacional</t>
  </si>
  <si>
    <t>Desarrollo del Programa Federal ASACAM  - DUPI / VACUNAS                         Sponsor CONGRESO ARGENTINO DE AUDITORIA Y CALIDAD DE ATENCION</t>
  </si>
  <si>
    <t xml:space="preserve">Presupuesto ya ejecutado </t>
  </si>
  <si>
    <t>Influencia sobre guías y criterios de auditoría (ASACAM, impacto nacional) que destraban reembolso/adopción de DUPIXENT y vacunas en múltiples financiadores.</t>
  </si>
  <si>
    <t>Excel original: 'presupuesto ya ejecutado', impacto nacional, programa DUPI/Vacunas y sponsoreo del Congreso. Nº de pacientes habilitados y precio DUPIXENT: estimación propia.</t>
  </si>
  <si>
    <t xml:space="preserve">Mejorar Comunicación Interna Cba </t>
  </si>
  <si>
    <t>N° 11Eventos CROSS — Unificación de agenda</t>
  </si>
  <si>
    <t>Capacitación a todo el equipo Córdoba del  Portfolio SANOFI -                                                 Capacitacion de Puestos y Funciones (Ej Value-)                                           Visibilidad de Eventos Programados y sinergia con BUs.</t>
  </si>
  <si>
    <t xml:space="preserve">Capacitación Interna </t>
  </si>
  <si>
    <t xml:space="preserve">Pasajes de Medical / MSL  CROSS </t>
  </si>
  <si>
    <t>Habilitador. Ahorro logístico/eficiencia del equipo (menos duplicaciones, agenda cross unificada) y mejor ejecución cross-BU.</t>
  </si>
  <si>
    <t>Capacitación interna del portfolio y unificación de agenda de eventos cross. Ahorro estimado en pasajes/coordinación Medical-MSL ≈ USD 30-50k/año. Valor real es productividad y sinergia, difícil de monetizar directo.</t>
  </si>
  <si>
    <t>Excel original: capacitación de portfolio y unificación de agenda cross. El ahorro de USD 30-50k: estimación propia (no hay cifra en el archivo).</t>
  </si>
  <si>
    <t xml:space="preserve">OSDE / SIGLO XXI </t>
  </si>
  <si>
    <t xml:space="preserve">Primer Centro Medico propio de OSDE en convenio con Siglo XXI </t>
  </si>
  <si>
    <t>Desarrollo de Networkig a traves de D+I - Cluster</t>
  </si>
  <si>
    <t>Ingreso incremental por acceso a afiliados OSDE vía el primer centro médico propio (convenio con Siglo XXI) y networking D+I / cluster.</t>
  </si>
  <si>
    <t>OSDE nacional ~2M afiliados; foco Córdoba ~150k. Centro nuevo: captura inicial acotada pero escalable. Penetración incremental de portfolio estimada en USD 400k/año a medida que madura el convenio.</t>
  </si>
  <si>
    <t>Excel original: primer centro médico propio de OSDE en convenio con Siglo XXI. Afiliados OSDE (nacional/Córdoba) y penetración de USD 400k: estimación propia / conocimiento general del sector.</t>
  </si>
  <si>
    <t>PSP DUPI no resuelve Touchpoint</t>
  </si>
  <si>
    <t xml:space="preserve">Dificultad para el abordaje de Touchpoint </t>
  </si>
  <si>
    <t xml:space="preserve">Revision Interna SANOFI  BU- PSP </t>
  </si>
  <si>
    <t>Ingreso retenido por mejora de adherencia/persistencia en pacientes DUPIXENT (reducción de discontinuación) al resolver el touchpoint del PSP.</t>
  </si>
  <si>
    <t>Base regional ~100 pacientes DUPIXENT; discontinuación actual ~20%. Recuperar/retener ~10 pacientes/año × USD 15.000 ≈ 150k. Requiere revisión interna SANOFI BU-PSP del circuito de touchpoint.</t>
  </si>
  <si>
    <t>Excel original: dificultad de abordaje del touchpoint del PSP DUPIXENT. Base de pacientes (~100), tasa de discontinuación (20%) y precio: estimación propia sobre benchmarks generales.</t>
  </si>
  <si>
    <t>TOTAL oportunidad incremental (excl. transversales)</t>
  </si>
  <si>
    <t>Presupuesto YA EJECUTADO (costo hundido): la oportunidad es upside puro. Si los criterios de auditoría habilitan ~10 pacientes DUPIXENT adicionales a nivel nacional × USD 3600. Sponsoreo del Congreso amplía share of voice.+</t>
  </si>
  <si>
    <r>
      <t xml:space="preserve">600.000 afiliados. Insulinas: ~3% insulinizados (18.000); capturar </t>
    </r>
    <r>
      <rPr>
        <sz val="10"/>
        <color rgb="FFFF0000"/>
        <rFont val="Calibri"/>
        <family val="2"/>
      </rPr>
      <t>10%</t>
    </r>
    <r>
      <rPr>
        <sz val="10"/>
        <rFont val="Calibri"/>
        <charset val="1"/>
      </rPr>
      <t xml:space="preserve"> nuevos × USD 300/mes ≈$540,000. DUPIXENT: ~0,1% candidatos (600); capturar 5% (30 pac.) × USD 3600mes ≈ 1200000. Vacunas: 600k × 5% cobertura × USD 15 ≈ 450k. Nuevo plan voluntarios suma upside. Precios netos estimados.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</si>
</sst>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13" x14ac:knownFonts="1">
    <font>
      <sz val="11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b/>
      <sz val="11"/>
      <color rgb="FFFFFFFF"/>
      <name val="Calibri"/>
      <charset val="1"/>
    </font>
    <font>
      <b/>
      <sz val="11"/>
      <color rgb="FF00B050"/>
      <name val="Calibri"/>
      <family val="2"/>
      <charset val="1"/>
    </font>
    <font>
      <sz val="10"/>
      <color rgb="FF000000"/>
      <name val="Aptos Narrow"/>
      <family val="2"/>
      <charset val="1"/>
    </font>
    <font>
      <sz val="10"/>
      <name val="Calibri"/>
      <charset val="1"/>
    </font>
    <font>
      <i/>
      <sz val="10"/>
      <color rgb="FF808080"/>
      <name val="Calibri"/>
      <charset val="1"/>
    </font>
    <font>
      <b/>
      <sz val="11"/>
      <color rgb="FF782170"/>
      <name val="Aptos Narrow"/>
      <family val="2"/>
      <charset val="1"/>
    </font>
    <font>
      <b/>
      <sz val="10"/>
      <name val="Calibri"/>
      <charset val="1"/>
    </font>
    <font>
      <b/>
      <sz val="11"/>
      <name val="Calibri"/>
      <charset val="1"/>
    </font>
    <font>
      <sz val="10"/>
      <color rgb="FFFF0000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1F4E78"/>
        <bgColor rgb="FF333333"/>
      </patternFill>
    </fill>
    <fill>
      <patternFill patternType="solid">
        <fgColor rgb="FFF7C7AC"/>
        <bgColor rgb="FFBFBFBF"/>
      </patternFill>
    </fill>
    <fill>
      <patternFill patternType="solid">
        <fgColor rgb="FFFFF2CC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1" fillId="0" borderId="3" xfId="0" applyFont="1" applyBorder="1"/>
    <xf numFmtId="0" fontId="6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164" fontId="6" fillId="0" borderId="4" xfId="0" applyNumberFormat="1" applyFont="1" applyBorder="1" applyAlignment="1">
      <alignment horizontal="right" vertical="top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9" fillId="0" borderId="4" xfId="0" applyFont="1" applyBorder="1" applyAlignment="1">
      <alignment horizontal="left" vertical="top" wrapText="1"/>
    </xf>
    <xf numFmtId="164" fontId="10" fillId="5" borderId="4" xfId="0" applyNumberFormat="1" applyFont="1" applyFill="1" applyBorder="1" applyAlignment="1">
      <alignment horizontal="right" vertical="center"/>
    </xf>
    <xf numFmtId="0" fontId="0" fillId="0" borderId="4" xfId="0" applyBorder="1"/>
    <xf numFmtId="0" fontId="1" fillId="4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8217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C7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topLeftCell="K4" zoomScale="115" zoomScaleNormal="115" workbookViewId="0">
      <selection activeCell="O5" sqref="O5"/>
    </sheetView>
  </sheetViews>
  <sheetFormatPr defaultColWidth="8.5703125" defaultRowHeight="15" x14ac:dyDescent="0.25"/>
  <cols>
    <col min="1" max="1" width="36.28515625" customWidth="1"/>
    <col min="11" max="11" width="59" customWidth="1"/>
    <col min="12" max="12" width="24.42578125" customWidth="1"/>
    <col min="13" max="13" width="42" customWidth="1"/>
    <col min="14" max="14" width="20" customWidth="1"/>
    <col min="15" max="15" width="50" customWidth="1"/>
    <col min="16" max="16" width="48" customWidth="1"/>
  </cols>
  <sheetData>
    <row r="1" spans="1:17" ht="1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7" ht="30" x14ac:dyDescent="0.25">
      <c r="A2" s="15"/>
      <c r="B2" s="14" t="s">
        <v>0</v>
      </c>
      <c r="C2" s="14"/>
      <c r="D2" s="14"/>
      <c r="E2" s="14" t="s">
        <v>1</v>
      </c>
      <c r="F2" s="14"/>
      <c r="G2" s="14" t="s">
        <v>2</v>
      </c>
      <c r="H2" s="14"/>
      <c r="I2" s="14"/>
      <c r="J2" s="14"/>
      <c r="K2" s="16" t="s">
        <v>3</v>
      </c>
      <c r="L2" s="17" t="s">
        <v>4</v>
      </c>
      <c r="M2" s="18" t="s">
        <v>5</v>
      </c>
      <c r="N2" s="18" t="s">
        <v>6</v>
      </c>
      <c r="O2" s="18" t="s">
        <v>7</v>
      </c>
      <c r="P2" s="18" t="s">
        <v>8</v>
      </c>
    </row>
    <row r="3" spans="1:17" ht="99.75" customHeight="1" x14ac:dyDescent="0.25">
      <c r="A3" s="13" t="s">
        <v>9</v>
      </c>
      <c r="B3" s="12" t="s">
        <v>10</v>
      </c>
      <c r="C3" s="12"/>
      <c r="D3" s="12"/>
      <c r="E3" s="11" t="s">
        <v>11</v>
      </c>
      <c r="F3" s="11"/>
      <c r="G3" s="11" t="s">
        <v>12</v>
      </c>
      <c r="H3" s="11"/>
      <c r="I3" s="11"/>
      <c r="J3" s="11"/>
      <c r="K3" s="19"/>
      <c r="L3" s="19"/>
      <c r="M3" s="20" t="s">
        <v>13</v>
      </c>
      <c r="N3" s="21" t="s">
        <v>14</v>
      </c>
      <c r="O3" s="20" t="s">
        <v>15</v>
      </c>
      <c r="P3" s="20" t="s">
        <v>16</v>
      </c>
    </row>
    <row r="4" spans="1:17" ht="409.5" customHeight="1" x14ac:dyDescent="0.25">
      <c r="A4" s="13"/>
      <c r="B4" s="12" t="s">
        <v>17</v>
      </c>
      <c r="C4" s="12"/>
      <c r="D4" s="12"/>
      <c r="E4" s="11" t="s">
        <v>18</v>
      </c>
      <c r="F4" s="11"/>
      <c r="G4" s="10" t="s">
        <v>19</v>
      </c>
      <c r="H4" s="10"/>
      <c r="I4" s="10"/>
      <c r="J4" s="10"/>
      <c r="K4" s="22" t="s">
        <v>20</v>
      </c>
      <c r="L4" s="19"/>
      <c r="M4" s="20" t="s">
        <v>21</v>
      </c>
      <c r="N4" s="23">
        <v>1740000</v>
      </c>
      <c r="O4" s="36" t="s">
        <v>72</v>
      </c>
      <c r="P4" s="20" t="s">
        <v>22</v>
      </c>
    </row>
    <row r="5" spans="1:17" ht="121.5" customHeight="1" x14ac:dyDescent="0.25">
      <c r="A5" s="13"/>
      <c r="B5" s="12" t="s">
        <v>23</v>
      </c>
      <c r="C5" s="12"/>
      <c r="D5" s="12"/>
      <c r="E5" s="11" t="s">
        <v>24</v>
      </c>
      <c r="F5" s="11"/>
      <c r="G5" s="9" t="s">
        <v>25</v>
      </c>
      <c r="H5" s="9"/>
      <c r="I5" s="9"/>
      <c r="J5" s="9"/>
      <c r="K5" s="22"/>
      <c r="L5" s="19"/>
      <c r="M5" s="20" t="s">
        <v>26</v>
      </c>
      <c r="N5" s="23">
        <v>3500000</v>
      </c>
      <c r="O5" s="20" t="s">
        <v>27</v>
      </c>
      <c r="P5" s="20" t="s">
        <v>28</v>
      </c>
    </row>
    <row r="6" spans="1:17" ht="240" customHeight="1" x14ac:dyDescent="0.25">
      <c r="A6" s="13"/>
      <c r="B6" s="8" t="s">
        <v>29</v>
      </c>
      <c r="C6" s="8"/>
      <c r="D6" s="8"/>
      <c r="E6" s="8" t="s">
        <v>30</v>
      </c>
      <c r="F6" s="8"/>
      <c r="G6" s="11" t="s">
        <v>31</v>
      </c>
      <c r="H6" s="11"/>
      <c r="I6" s="11"/>
      <c r="J6" s="11"/>
      <c r="K6" s="25" t="s">
        <v>32</v>
      </c>
      <c r="L6" s="19"/>
      <c r="M6" s="20" t="s">
        <v>33</v>
      </c>
      <c r="N6" s="23">
        <v>500000</v>
      </c>
      <c r="O6" s="20" t="s">
        <v>34</v>
      </c>
      <c r="P6" s="20" t="s">
        <v>35</v>
      </c>
    </row>
    <row r="7" spans="1:17" ht="99.75" customHeight="1" x14ac:dyDescent="0.25">
      <c r="A7" s="13"/>
      <c r="B7" s="12" t="s">
        <v>36</v>
      </c>
      <c r="C7" s="12"/>
      <c r="D7" s="12"/>
      <c r="E7" s="7"/>
      <c r="F7" s="7"/>
      <c r="G7" s="6" t="s">
        <v>37</v>
      </c>
      <c r="H7" s="6"/>
      <c r="I7" s="6"/>
      <c r="J7" s="6"/>
      <c r="K7" s="26" t="s">
        <v>38</v>
      </c>
      <c r="L7" s="19"/>
      <c r="M7" s="20" t="s">
        <v>39</v>
      </c>
      <c r="N7" s="23">
        <v>150000</v>
      </c>
      <c r="O7" s="20" t="s">
        <v>40</v>
      </c>
      <c r="P7" s="20" t="s">
        <v>41</v>
      </c>
    </row>
    <row r="8" spans="1:17" ht="231" customHeight="1" x14ac:dyDescent="0.25">
      <c r="A8" s="5" t="s">
        <v>42</v>
      </c>
      <c r="B8" s="4" t="s">
        <v>43</v>
      </c>
      <c r="C8" s="4"/>
      <c r="D8" s="4"/>
      <c r="E8" s="11" t="s">
        <v>44</v>
      </c>
      <c r="F8" s="11"/>
      <c r="G8" s="3" t="s">
        <v>45</v>
      </c>
      <c r="H8" s="3"/>
      <c r="I8" s="3"/>
      <c r="J8" s="3"/>
      <c r="K8" s="27" t="s">
        <v>46</v>
      </c>
      <c r="L8" s="26" t="s">
        <v>47</v>
      </c>
      <c r="M8" s="20" t="s">
        <v>48</v>
      </c>
      <c r="N8" s="23">
        <f>3600*10*12</f>
        <v>432000</v>
      </c>
      <c r="O8" s="20" t="s">
        <v>71</v>
      </c>
      <c r="P8" s="20" t="s">
        <v>49</v>
      </c>
      <c r="Q8">
        <f>5000000/1400</f>
        <v>3571.4285714285716</v>
      </c>
    </row>
    <row r="9" spans="1:17" ht="90" customHeight="1" x14ac:dyDescent="0.25">
      <c r="A9" s="5"/>
      <c r="B9" s="4" t="s">
        <v>50</v>
      </c>
      <c r="C9" s="4"/>
      <c r="D9" s="4"/>
      <c r="E9" s="6" t="s">
        <v>51</v>
      </c>
      <c r="F9" s="6"/>
      <c r="G9" s="2" t="s">
        <v>52</v>
      </c>
      <c r="H9" s="2"/>
      <c r="I9" s="2"/>
      <c r="J9" s="2"/>
      <c r="K9" s="28" t="s">
        <v>53</v>
      </c>
      <c r="L9" s="24" t="s">
        <v>54</v>
      </c>
      <c r="M9" s="20" t="s">
        <v>55</v>
      </c>
      <c r="N9" s="23">
        <v>40000</v>
      </c>
      <c r="O9" s="20" t="s">
        <v>56</v>
      </c>
      <c r="P9" s="20" t="s">
        <v>57</v>
      </c>
    </row>
    <row r="10" spans="1:17" ht="105" customHeight="1" x14ac:dyDescent="0.25">
      <c r="A10" s="5"/>
      <c r="B10" s="4" t="s">
        <v>58</v>
      </c>
      <c r="C10" s="4"/>
      <c r="D10" s="4"/>
      <c r="E10" s="7"/>
      <c r="F10" s="7"/>
      <c r="G10" s="1" t="s">
        <v>59</v>
      </c>
      <c r="H10" s="1"/>
      <c r="I10" s="1"/>
      <c r="J10" s="1"/>
      <c r="K10" s="29" t="s">
        <v>60</v>
      </c>
      <c r="L10" s="19"/>
      <c r="M10" s="20" t="s">
        <v>61</v>
      </c>
      <c r="N10" s="23">
        <v>400000</v>
      </c>
      <c r="O10" s="20" t="s">
        <v>62</v>
      </c>
      <c r="P10" s="20" t="s">
        <v>63</v>
      </c>
    </row>
    <row r="11" spans="1:17" ht="99.75" customHeight="1" x14ac:dyDescent="0.25">
      <c r="A11" s="5"/>
      <c r="B11" s="34" t="s">
        <v>64</v>
      </c>
      <c r="C11" s="34"/>
      <c r="D11" s="34"/>
      <c r="E11" s="19"/>
      <c r="F11" s="19"/>
      <c r="G11" s="35" t="s">
        <v>65</v>
      </c>
      <c r="H11" s="35"/>
      <c r="I11" s="35"/>
      <c r="J11" s="35"/>
      <c r="K11" s="19" t="s">
        <v>66</v>
      </c>
      <c r="L11" s="19"/>
      <c r="M11" s="20" t="s">
        <v>67</v>
      </c>
      <c r="N11" s="23">
        <v>150000</v>
      </c>
      <c r="O11" s="20" t="s">
        <v>68</v>
      </c>
      <c r="P11" s="20" t="s">
        <v>69</v>
      </c>
    </row>
    <row r="12" spans="1:17" ht="15" customHeight="1" x14ac:dyDescent="0.25">
      <c r="A12" s="30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31" t="s">
        <v>70</v>
      </c>
      <c r="N12" s="32">
        <f>SUM(N4:N11)</f>
        <v>6912000</v>
      </c>
      <c r="O12" s="33"/>
      <c r="P12" s="33"/>
    </row>
    <row r="13" spans="1:17" ht="15" customHeight="1" x14ac:dyDescent="0.25">
      <c r="A13" s="30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7" ht="15" customHeight="1" x14ac:dyDescent="0.25">
      <c r="A14" s="30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7" ht="15" customHeight="1" x14ac:dyDescent="0.25">
      <c r="A15" s="30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7" ht="15" customHeight="1" x14ac:dyDescent="0.25">
      <c r="A16" s="30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ht="15" customHeight="1" x14ac:dyDescent="0.25">
      <c r="A17" s="30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</sheetData>
  <mergeCells count="31">
    <mergeCell ref="B7:D7"/>
    <mergeCell ref="E7:F7"/>
    <mergeCell ref="G7:J7"/>
    <mergeCell ref="A8:A11"/>
    <mergeCell ref="B8:D8"/>
    <mergeCell ref="E8:F8"/>
    <mergeCell ref="G8:J8"/>
    <mergeCell ref="B9:D9"/>
    <mergeCell ref="E9:F9"/>
    <mergeCell ref="G9:J9"/>
    <mergeCell ref="B10:D10"/>
    <mergeCell ref="E10:F10"/>
    <mergeCell ref="G10:J10"/>
    <mergeCell ref="B11:D11"/>
    <mergeCell ref="G11:J11"/>
    <mergeCell ref="B2:D2"/>
    <mergeCell ref="E2:F2"/>
    <mergeCell ref="G2:J2"/>
    <mergeCell ref="A3:A7"/>
    <mergeCell ref="B3:D3"/>
    <mergeCell ref="E3:F3"/>
    <mergeCell ref="G3:J3"/>
    <mergeCell ref="B4:D4"/>
    <mergeCell ref="E4:F4"/>
    <mergeCell ref="G4:J4"/>
    <mergeCell ref="B5:D5"/>
    <mergeCell ref="E5:F5"/>
    <mergeCell ref="G5:J5"/>
    <mergeCell ref="B6:D6"/>
    <mergeCell ref="E6:F6"/>
    <mergeCell ref="G6:J6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Rodolfo Romero</dc:creator>
  <dc:description/>
  <cp:lastModifiedBy>Rodolfo Romero</cp:lastModifiedBy>
  <cp:revision>0</cp:revision>
  <dcterms:created xsi:type="dcterms:W3CDTF">2026-05-29T15:11:27Z</dcterms:created>
  <dcterms:modified xsi:type="dcterms:W3CDTF">2026-06-02T18:32:20Z</dcterms:modified>
  <dc:language>en-US</dc:language>
</cp:coreProperties>
</file>